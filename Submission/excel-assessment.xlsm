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mapup working\"/>
    </mc:Choice>
  </mc:AlternateContent>
  <xr:revisionPtr revIDLastSave="0" documentId="13_ncr:1_{A07EDE40-C6D0-4F96-8F90-63A68C56B0EB}" xr6:coauthVersionLast="47" xr6:coauthVersionMax="47" xr10:uidLastSave="{00000000-0000-0000-0000-000000000000}"/>
  <bookViews>
    <workbookView xWindow="-120" yWindow="-120" windowWidth="29040" windowHeight="1572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 1 Answer" sheetId="25" r:id="rId4"/>
    <sheet name="Task_2" sheetId="18" r:id="rId5"/>
    <sheet name="Task_3" sheetId="16" r:id="rId6"/>
    <sheet name="Task_4" sheetId="19" r:id="rId7"/>
    <sheet name="Task_5" sheetId="20" r:id="rId8"/>
  </sheets>
  <definedNames>
    <definedName name="_xlnm._FilterDatabase" localSheetId="1" hidden="1">Dataset!$A$1:$W$40</definedName>
    <definedName name="_xlnm._FilterDatabase" localSheetId="3" hidden="1">'Task 1 Answer'!$A$1:$W$40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0" l="1"/>
  <c r="G25" i="20"/>
  <c r="G26" i="20"/>
  <c r="G27" i="20"/>
  <c r="G28" i="20"/>
  <c r="G29" i="20"/>
  <c r="G30" i="20"/>
  <c r="G31" i="20"/>
  <c r="G32" i="20"/>
  <c r="G33" i="20"/>
  <c r="G34" i="20"/>
  <c r="G35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G23" i="20"/>
  <c r="F23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7" i="18"/>
  <c r="C22" i="19" a="1"/>
  <c r="C22" i="19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17" i="16" a="1"/>
  <c r="B17" i="16" s="1"/>
  <c r="D30" i="18"/>
  <c r="E30" i="18"/>
  <c r="F30" i="18"/>
  <c r="D29" i="18"/>
  <c r="E29" i="18"/>
  <c r="F29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29" i="18"/>
  <c r="C28" i="18"/>
  <c r="C7" i="18"/>
  <c r="C8" i="18"/>
  <c r="C9" i="18"/>
  <c r="C10" i="18"/>
  <c r="C11" i="18"/>
  <c r="C12" i="18"/>
  <c r="C30" i="18" s="1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8" i="18"/>
  <c r="B6" i="18"/>
  <c r="B30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2" i="25"/>
  <c r="C24" i="20" a="1"/>
  <c r="C27" i="20" a="1"/>
  <c r="C30" i="20" a="1"/>
  <c r="C33" i="20" a="1"/>
  <c r="C25" i="20" a="1"/>
  <c r="C31" i="20" a="1"/>
  <c r="C26" i="20" a="1"/>
  <c r="C29" i="20" a="1"/>
  <c r="C32" i="20" a="1"/>
  <c r="C35" i="20" a="1"/>
  <c r="C28" i="20" a="1"/>
  <c r="C34" i="20" a="1"/>
  <c r="C23" i="20" a="1"/>
  <c r="C34" i="20" l="1"/>
  <c r="C28" i="20"/>
  <c r="C35" i="20"/>
  <c r="C32" i="20"/>
  <c r="C29" i="20"/>
  <c r="C26" i="20"/>
  <c r="C31" i="20"/>
  <c r="C25" i="20"/>
  <c r="C33" i="20"/>
  <c r="C30" i="20"/>
  <c r="C27" i="20"/>
  <c r="C24" i="20"/>
  <c r="C23" i="20"/>
  <c r="B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<sst xmlns="http://schemas.openxmlformats.org/spreadsheetml/2006/main" count="477" uniqueCount="189">
  <si>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</si>
  <si>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</si>
  <si>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</si>
  <si>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</si>
  <si>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</si>
  <si>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</si>
  <si>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</si>
  <si>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</si>
  <si>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</si>
  <si>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</si>
  <si>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</si>
  <si>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</si>
  <si>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</si>
  <si>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</si>
  <si>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</si>
  <si>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</si>
  <si>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</si>
  <si>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</si>
  <si>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</si>
  <si>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</si>
  <si>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</si>
  <si>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</si>
  <si>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</si>
  <si>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</si>
  <si>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</si>
  <si>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</si>
  <si>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</si>
  <si>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</si>
  <si>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</si>
  <si>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</si>
  <si>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</si>
  <si>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</si>
  <si>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</si>
  <si>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</si>
  <si>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</si>
  <si>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</si>
  <si>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</si>
  <si>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</si>
  <si>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</si>
  <si>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</si>
  <si>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</si>
  <si>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</si>
  <si>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</si>
  <si>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</si>
  <si>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</si>
  <si>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</si>
  <si>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</si>
  <si>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</si>
  <si>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</si>
  <si>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</si>
  <si>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</si>
  <si>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</si>
  <si>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</si>
  <si>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</si>
  <si>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</si>
  <si>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</si>
  <si>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</si>
  <si>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</si>
  <si>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</si>
  <si>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</si>
  <si>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</si>
  <si>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</si>
  <si>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</si>
  <si>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</si>
  <si>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</si>
  <si>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</si>
  <si>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</si>
  <si>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</si>
  <si>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</si>
  <si>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</si>
  <si>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</si>
  <si>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</si>
  <si>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</si>
  <si>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</si>
  <si>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</si>
  <si>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</si>
  <si>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</si>
  <si>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</si>
  <si>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</si>
  <si>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</si>
  <si>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</si>
  <si>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</si>
  <si>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</si>
  <si>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</si>
  <si>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</si>
  <si>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</si>
  <si>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</si>
  <si>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</si>
  <si>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</si>
  <si>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</si>
  <si>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</si>
  <si>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</si>
  <si>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</si>
  <si>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</si>
  <si>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</si>
  <si>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</si>
  <si>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</si>
  <si>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</si>
  <si>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</si>
  <si>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</si>
  <si>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</si>
  <si>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</si>
  <si>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</si>
  <si>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</si>
  <si>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</si>
  <si>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</si>
  <si>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</si>
  <si>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</si>
  <si>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</si>
  <si>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</si>
  <si>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</si>
  <si>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</si>
  <si>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</si>
  <si>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</si>
  <si>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</si>
  <si>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</si>
  <si>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</si>
  <si>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</si>
  <si>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</si>
  <si>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</si>
  <si>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</si>
  <si>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</si>
  <si>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</si>
  <si>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</si>
  <si>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</si>
  <si>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</si>
  <si>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</si>
  <si>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</si>
  <si>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</si>
  <si>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</si>
  <si>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</si>
  <si>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</si>
  <si>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</si>
  <si>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</si>
  <si>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</si>
  <si>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</si>
  <si>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</si>
  <si>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</si>
  <si>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</si>
  <si>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</si>
  <si>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</si>
  <si>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</si>
  <si>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</si>
  <si>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</si>
  <si>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</si>
  <si>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</si>
  <si>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</si>
  <si>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</si>
  <si>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</si>
  <si>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</si>
  <si>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</si>
  <si>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</si>
  <si>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</si>
  <si>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</si>
  <si>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</si>
  <si>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</si>
  <si>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</si>
  <si>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</si>
  <si>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</si>
  <si>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</si>
  <si>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</si>
  <si>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</si>
  <si>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</si>
  <si>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</si>
  <si>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</si>
  <si>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</si>
  <si>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</si>
  <si>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</si>
  <si>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</si>
  <si>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</si>
  <si>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</si>
  <si>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</si>
  <si>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</si>
  <si>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</si>
  <si>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</si>
  <si>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</si>
  <si>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</si>
  <si>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</si>
  <si>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I have used the delimitter function to format the data.</t>
  </si>
  <si>
    <t>Delimiter are usually characters that are used to separate data. In this scenario , we used "-" as delimters. Using Text to column function under data tab allows us to separate data and store it in multiple columns.</t>
  </si>
  <si>
    <t>The delimtier function allows only to use one row at a time. So I have used textsplit function to split the data into columns. This allowed me to auto fill for enitre row.</t>
  </si>
  <si>
    <t>Chaining sum function and Iferror function</t>
  </si>
  <si>
    <t>The iferror function will replace the value with the value given in the parameter. As we performing sum using non - numerical values such as #NA will cause error so those will be replaced with 20</t>
  </si>
  <si>
    <t>Finding Name for X</t>
  </si>
  <si>
    <t>Finding name for Y</t>
  </si>
  <si>
    <t>mapping X data for accessing table</t>
  </si>
  <si>
    <t>mapping Y data for accessing table</t>
  </si>
  <si>
    <t>I have used multiple functions to achieve the result. To convert the value of X,Y from ID to name, I have used VLOOKUP funct</t>
  </si>
  <si>
    <t>To convert the value of X,Y from ID to name, I have used VLOOKUP function. After finding it , I mapped the data to access the data in table_A. have used code function to manipulate the result of vlookup and map the data. After mapping , using indirect function i retrieved the result of the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</si>
</sst>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5" sqref="A2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selection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I15" sqref="I1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1593B-0E8A-4F22-8143-54AA121C5F74}">
  <dimension ref="A1:Y40"/>
  <sheetViews>
    <sheetView topLeftCell="I1" zoomScaleNormal="100" workbookViewId="0">
      <pane ySplit="1" topLeftCell="A2" activePane="bottomLeft" state="frozen"/>
      <selection activeCell="D1" sqref="D1"/>
      <selection pane="bottomLeft" activeCell="Y2" sqref="Y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0.6640625" style="1" bestFit="1" customWidth="1"/>
    <col min="4" max="4" width="11.83203125" style="24" bestFit="1" customWidth="1"/>
    <col min="5" max="5" width="10" style="1" bestFit="1" customWidth="1"/>
    <col min="6" max="6" width="11.16406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5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5" t="s">
        <v>105</v>
      </c>
    </row>
    <row r="2" spans="1:25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  <c r="Y2" s="1">
        <f>SUMIF(H2:H40,"&gt;20")</f>
        <v>1473.0000000000002</v>
      </c>
    </row>
    <row r="3" spans="1:25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5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5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5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5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5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5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5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5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5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5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5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5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5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7" sqref="B3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VLOOKUP(A6,Dataset!$1:$1048576,7,FALSE)</f>
        <v>2.7</v>
      </c>
      <c r="C6" s="12">
        <f>VLOOKUP(A6,Dataset!$1:$1048576,14,FALSE)</f>
        <v>7.6</v>
      </c>
      <c r="D6" s="12">
        <f>VLOOKUP(A6,Dataset!$1:$1048576,18,FALSE)</f>
        <v>4.2</v>
      </c>
      <c r="E6" s="12">
        <f>VLOOKUP(A6,Dataset!$1:$1048576,20,FALSE)</f>
        <v>8.9</v>
      </c>
      <c r="F6" s="8">
        <f>VLOOKUP(A6,Dataset!$1:$1048576,22,FALSE)</f>
        <v>4.2</v>
      </c>
    </row>
    <row r="7" spans="1:7" ht="15" x14ac:dyDescent="0.25">
      <c r="A7" s="7" t="s">
        <v>4</v>
      </c>
      <c r="B7" s="12">
        <f>VLOOKUP(A7,Dataset!$1:$1048576,7,FALSE)</f>
        <v>2.7</v>
      </c>
      <c r="C7" s="12">
        <f>VLOOKUP(A7,Dataset!$1:$1048576,14,FALSE)</f>
        <v>7.6</v>
      </c>
      <c r="D7" s="12">
        <f>VLOOKUP(A7,Dataset!$1:$1048576,18,FALSE)</f>
        <v>4.2</v>
      </c>
      <c r="E7" s="12">
        <f>VLOOKUP(A7,Dataset!$1:$1048576,20,FALSE)</f>
        <v>8.9</v>
      </c>
      <c r="F7" s="8">
        <f>VLOOKUP(A7,Dataset!$1:$1048576,22,FALSE)</f>
        <v>4.2</v>
      </c>
    </row>
    <row r="8" spans="1:7" ht="15" x14ac:dyDescent="0.25">
      <c r="A8" s="7" t="s">
        <v>7</v>
      </c>
      <c r="B8" s="12">
        <f>VLOOKUP(A8,Dataset!$1:$1048576,7,FALSE)</f>
        <v>3.6</v>
      </c>
      <c r="C8" s="12">
        <f>VLOOKUP(A8,Dataset!$1:$1048576,14,FALSE)</f>
        <v>11.1</v>
      </c>
      <c r="D8" s="12">
        <f>VLOOKUP(A8,Dataset!$1:$1048576,18,FALSE)</f>
        <v>5.8</v>
      </c>
      <c r="E8" s="12">
        <f>VLOOKUP(A8,Dataset!$1:$1048576,20,FALSE)</f>
        <v>12.2</v>
      </c>
      <c r="F8" s="8">
        <f>VLOOKUP(A8,Dataset!$1:$1048576,22,FALSE)</f>
        <v>5.8</v>
      </c>
    </row>
    <row r="9" spans="1:7" ht="15" x14ac:dyDescent="0.25">
      <c r="A9" s="7" t="s">
        <v>8</v>
      </c>
      <c r="B9" s="12">
        <f>VLOOKUP(A9,Dataset!$1:$1048576,7,FALSE)</f>
        <v>4.9000000000000004</v>
      </c>
      <c r="C9" s="12">
        <f>VLOOKUP(A9,Dataset!$1:$1048576,14,FALSE)</f>
        <v>13.3</v>
      </c>
      <c r="D9" s="12">
        <f>VLOOKUP(A9,Dataset!$1:$1048576,18,FALSE)</f>
        <v>8.1</v>
      </c>
      <c r="E9" s="12">
        <f>VLOOKUP(A9,Dataset!$1:$1048576,20,FALSE)</f>
        <v>17</v>
      </c>
      <c r="F9" s="8">
        <f>VLOOKUP(A9,Dataset!$1:$1048576,22,FALSE)</f>
        <v>8.1</v>
      </c>
    </row>
    <row r="10" spans="1:7" ht="15" x14ac:dyDescent="0.25">
      <c r="A10" s="7" t="s">
        <v>11</v>
      </c>
      <c r="B10" s="12">
        <f>VLOOKUP(A10,Dataset!$1:$1048576,7,FALSE)</f>
        <v>9.4</v>
      </c>
      <c r="C10" s="12">
        <f>VLOOKUP(A10,Dataset!$1:$1048576,14,FALSE)</f>
        <v>28.3</v>
      </c>
      <c r="D10" s="12">
        <f>VLOOKUP(A10,Dataset!$1:$1048576,18,FALSE)</f>
        <v>16.100000000000001</v>
      </c>
      <c r="E10" s="12">
        <f>VLOOKUP(A10,Dataset!$1:$1048576,20,FALSE)</f>
        <v>32.799999999999997</v>
      </c>
      <c r="F10" s="8">
        <f>VLOOKUP(A10,Dataset!$1:$1048576,22,FALSE)</f>
        <v>16.100000000000001</v>
      </c>
    </row>
    <row r="11" spans="1:7" ht="15" x14ac:dyDescent="0.25">
      <c r="A11" s="7" t="s">
        <v>12</v>
      </c>
      <c r="B11" s="12">
        <f>VLOOKUP(A11,Dataset!$1:$1048576,7,FALSE)</f>
        <v>11.6</v>
      </c>
      <c r="C11" s="12">
        <f>VLOOKUP(A11,Dataset!$1:$1048576,14,FALSE)</f>
        <v>35.200000000000003</v>
      </c>
      <c r="D11" s="12">
        <f>VLOOKUP(A11,Dataset!$1:$1048576,18,FALSE)</f>
        <v>21.3</v>
      </c>
      <c r="E11" s="12">
        <f>VLOOKUP(A11,Dataset!$1:$1048576,20,FALSE)</f>
        <v>43</v>
      </c>
      <c r="F11" s="8">
        <f>VLOOKUP(A11,Dataset!$1:$1048576,22,FALSE)</f>
        <v>21.3</v>
      </c>
    </row>
    <row r="12" spans="1:7" ht="15" x14ac:dyDescent="0.25">
      <c r="A12" s="7" t="s">
        <v>14</v>
      </c>
      <c r="B12" s="12">
        <f>VLOOKUP(A12,Dataset!$1:$1048576,7,FALSE)</f>
        <v>18.399999999999999</v>
      </c>
      <c r="C12" s="12">
        <f>VLOOKUP(A12,Dataset!$1:$1048576,14,FALSE)</f>
        <v>55.6</v>
      </c>
      <c r="D12" s="12">
        <f>VLOOKUP(A12,Dataset!$1:$1048576,18,FALSE)</f>
        <v>33.799999999999997</v>
      </c>
      <c r="E12" s="12">
        <f>VLOOKUP(A12,Dataset!$1:$1048576,20,FALSE)</f>
        <v>67.900000000000006</v>
      </c>
      <c r="F12" s="8">
        <f>VLOOKUP(A12,Dataset!$1:$1048576,22,FALSE)</f>
        <v>33.799999999999997</v>
      </c>
    </row>
    <row r="13" spans="1:7" ht="15" x14ac:dyDescent="0.25">
      <c r="A13" s="7" t="s">
        <v>15</v>
      </c>
      <c r="B13" s="12">
        <f>VLOOKUP(A13,Dataset!$1:$1048576,7,FALSE)</f>
        <v>0</v>
      </c>
      <c r="C13" s="12">
        <f>VLOOKUP(A13,Dataset!$1:$1048576,14,FALSE)</f>
        <v>0</v>
      </c>
      <c r="D13" s="12">
        <f>VLOOKUP(A13,Dataset!$1:$1048576,18,FALSE)</f>
        <v>0</v>
      </c>
      <c r="E13" s="12">
        <f>VLOOKUP(A13,Dataset!$1:$1048576,20,FALSE)</f>
        <v>0</v>
      </c>
      <c r="F13" s="8">
        <f>VLOOKUP(A13,Dataset!$1:$1048576,22,FALSE)</f>
        <v>0</v>
      </c>
    </row>
    <row r="14" spans="1:7" ht="15" x14ac:dyDescent="0.25">
      <c r="A14" s="7" t="s">
        <v>16</v>
      </c>
      <c r="B14" s="12">
        <f>VLOOKUP(A14,Dataset!$1:$1048576,7,FALSE)</f>
        <v>21.9</v>
      </c>
      <c r="C14" s="12">
        <f>VLOOKUP(A14,Dataset!$1:$1048576,14,FALSE)</f>
        <v>61.5</v>
      </c>
      <c r="D14" s="12">
        <f>VLOOKUP(A14,Dataset!$1:$1048576,18,FALSE)</f>
        <v>40.1</v>
      </c>
      <c r="E14" s="12">
        <f>VLOOKUP(A14,Dataset!$1:$1048576,20,FALSE)</f>
        <v>76.599999999999994</v>
      </c>
      <c r="F14" s="8">
        <f>VLOOKUP(A14,Dataset!$1:$1048576,22,FALSE)</f>
        <v>40.1</v>
      </c>
    </row>
    <row r="15" spans="1:7" ht="15" x14ac:dyDescent="0.25">
      <c r="A15" s="7" t="s">
        <v>18</v>
      </c>
      <c r="B15" s="12">
        <f>VLOOKUP(A15,Dataset!$1:$1048576,7,FALSE)</f>
        <v>26.8</v>
      </c>
      <c r="C15" s="12">
        <f>VLOOKUP(A15,Dataset!$1:$1048576,14,FALSE)</f>
        <v>79.599999999999994</v>
      </c>
      <c r="D15" s="12">
        <f>VLOOKUP(A15,Dataset!$1:$1048576,18,FALSE)</f>
        <v>47.9</v>
      </c>
      <c r="E15" s="12">
        <f>VLOOKUP(A15,Dataset!$1:$1048576,20,FALSE)</f>
        <v>96.8</v>
      </c>
      <c r="F15" s="8">
        <f>VLOOKUP(A15,Dataset!$1:$1048576,22,FALSE)</f>
        <v>47.9</v>
      </c>
    </row>
    <row r="16" spans="1:7" ht="15" x14ac:dyDescent="0.25">
      <c r="A16" s="7" t="s">
        <v>20</v>
      </c>
      <c r="B16" s="12">
        <f>VLOOKUP(A16,Dataset!$1:$1048576,7,FALSE)</f>
        <v>28.5</v>
      </c>
      <c r="C16" s="12">
        <f>VLOOKUP(A16,Dataset!$1:$1048576,14,FALSE)</f>
        <v>85.4</v>
      </c>
      <c r="D16" s="12">
        <f>VLOOKUP(A16,Dataset!$1:$1048576,18,FALSE)</f>
        <v>52.3</v>
      </c>
      <c r="E16" s="12">
        <f>VLOOKUP(A16,Dataset!$1:$1048576,20,FALSE)</f>
        <v>106.1</v>
      </c>
      <c r="F16" s="8">
        <f>VLOOKUP(A16,Dataset!$1:$1048576,22,FALSE)</f>
        <v>52.3</v>
      </c>
    </row>
    <row r="17" spans="1:6" ht="15" x14ac:dyDescent="0.25">
      <c r="A17" s="7" t="s">
        <v>22</v>
      </c>
      <c r="B17" s="12">
        <f>VLOOKUP(A17,Dataset!$1:$1048576,7,FALSE)</f>
        <v>30.7</v>
      </c>
      <c r="C17" s="12">
        <f>VLOOKUP(A17,Dataset!$1:$1048576,14,FALSE)</f>
        <v>92.1</v>
      </c>
      <c r="D17" s="12">
        <f>VLOOKUP(A17,Dataset!$1:$1048576,18,FALSE)</f>
        <v>57</v>
      </c>
      <c r="E17" s="12">
        <f>VLOOKUP(A17,Dataset!$1:$1048576,20,FALSE)</f>
        <v>115.1</v>
      </c>
      <c r="F17" s="8">
        <f>VLOOKUP(A17,Dataset!$1:$1048576,22,FALSE)</f>
        <v>57</v>
      </c>
    </row>
    <row r="18" spans="1:6" ht="15" x14ac:dyDescent="0.25">
      <c r="A18" s="7" t="s">
        <v>23</v>
      </c>
      <c r="B18" s="12">
        <f>VLOOKUP(A18,Dataset!$1:$1048576,7,FALSE)</f>
        <v>33.799999999999997</v>
      </c>
      <c r="C18" s="12">
        <f>VLOOKUP(A18,Dataset!$1:$1048576,14,FALSE)</f>
        <v>101.3</v>
      </c>
      <c r="D18" s="12">
        <f>VLOOKUP(A18,Dataset!$1:$1048576,18,FALSE)</f>
        <v>61.4</v>
      </c>
      <c r="E18" s="12">
        <f>VLOOKUP(A18,Dataset!$1:$1048576,20,FALSE)</f>
        <v>124.4</v>
      </c>
      <c r="F18" s="8">
        <f>VLOOKUP(A18,Dataset!$1:$1048576,22,FALSE)</f>
        <v>61.4</v>
      </c>
    </row>
    <row r="19" spans="1:6" ht="15" x14ac:dyDescent="0.25">
      <c r="A19" s="7" t="s">
        <v>24</v>
      </c>
      <c r="B19" s="12">
        <f>VLOOKUP(A19,Dataset!$1:$1048576,7,FALSE)</f>
        <v>34.700000000000003</v>
      </c>
      <c r="C19" s="12">
        <f>VLOOKUP(A19,Dataset!$1:$1048576,14,FALSE)</f>
        <v>106.1</v>
      </c>
      <c r="D19" s="12">
        <f>VLOOKUP(A19,Dataset!$1:$1048576,18,FALSE)</f>
        <v>63.6</v>
      </c>
      <c r="E19" s="12">
        <f>VLOOKUP(A19,Dataset!$1:$1048576,20,FALSE)</f>
        <v>128.6</v>
      </c>
      <c r="F19" s="8">
        <f>VLOOKUP(A19,Dataset!$1:$1048576,22,FALSE)</f>
        <v>63.6</v>
      </c>
    </row>
    <row r="20" spans="1:6" ht="15" x14ac:dyDescent="0.25">
      <c r="A20" s="7" t="s">
        <v>28</v>
      </c>
      <c r="B20" s="12">
        <f>VLOOKUP(A20,Dataset!$1:$1048576,7,FALSE)</f>
        <v>0</v>
      </c>
      <c r="C20" s="12">
        <f>VLOOKUP(A20,Dataset!$1:$1048576,14,FALSE)</f>
        <v>0</v>
      </c>
      <c r="D20" s="12">
        <f>VLOOKUP(A20,Dataset!$1:$1048576,18,FALSE)</f>
        <v>0</v>
      </c>
      <c r="E20" s="12">
        <f>VLOOKUP(A20,Dataset!$1:$1048576,20,FALSE)</f>
        <v>0</v>
      </c>
      <c r="F20" s="8">
        <f>VLOOKUP(A20,Dataset!$1:$1048576,22,FALSE)</f>
        <v>0</v>
      </c>
    </row>
    <row r="21" spans="1:6" ht="15" x14ac:dyDescent="0.25">
      <c r="A21" s="7" t="s">
        <v>57</v>
      </c>
      <c r="B21" s="12">
        <f>VLOOKUP(A21,Dataset!$1:$1048576,7,FALSE)</f>
        <v>41.3</v>
      </c>
      <c r="C21" s="12">
        <f>VLOOKUP(A21,Dataset!$1:$1048576,14,FALSE)</f>
        <v>124.4</v>
      </c>
      <c r="D21" s="12">
        <f>VLOOKUP(A21,Dataset!$1:$1048576,18,FALSE)</f>
        <v>75</v>
      </c>
      <c r="E21" s="12">
        <f>VLOOKUP(A21,Dataset!$1:$1048576,20,FALSE)</f>
        <v>151.5</v>
      </c>
      <c r="F21" s="8">
        <f>VLOOKUP(A21,Dataset!$1:$1048576,22,FALSE)</f>
        <v>75</v>
      </c>
    </row>
    <row r="22" spans="1:6" ht="15" x14ac:dyDescent="0.25">
      <c r="A22" s="7" t="s">
        <v>58</v>
      </c>
      <c r="B22" s="12">
        <f>VLOOKUP(A22,Dataset!$1:$1048576,7,FALSE)</f>
        <v>-1</v>
      </c>
      <c r="C22" s="12">
        <f>VLOOKUP(A22,Dataset!$1:$1048576,14,FALSE)</f>
        <v>-1</v>
      </c>
      <c r="D22" s="12">
        <f>VLOOKUP(A22,Dataset!$1:$1048576,18,FALSE)</f>
        <v>-1</v>
      </c>
      <c r="E22" s="12">
        <f>VLOOKUP(A22,Dataset!$1:$1048576,20,FALSE)</f>
        <v>-1</v>
      </c>
      <c r="F22" s="8">
        <f>VLOOKUP(A22,Dataset!$1:$1048576,22,FALSE)</f>
        <v>-1</v>
      </c>
    </row>
    <row r="23" spans="1:6" ht="15" x14ac:dyDescent="0.25">
      <c r="A23" s="7" t="s">
        <v>31</v>
      </c>
      <c r="B23" s="12">
        <f>VLOOKUP(A23,Dataset!$1:$1048576,7,FALSE)</f>
        <v>45</v>
      </c>
      <c r="C23" s="12">
        <f>VLOOKUP(A23,Dataset!$1:$1048576,14,FALSE)</f>
        <v>133.4</v>
      </c>
      <c r="D23" s="12">
        <f>VLOOKUP(A23,Dataset!$1:$1048576,18,FALSE)</f>
        <v>79.400000000000006</v>
      </c>
      <c r="E23" s="12">
        <f>VLOOKUP(A23,Dataset!$1:$1048576,20,FALSE)</f>
        <v>160.9</v>
      </c>
      <c r="F23" s="8">
        <f>VLOOKUP(A23,Dataset!$1:$1048576,22,FALSE)</f>
        <v>79.400000000000006</v>
      </c>
    </row>
    <row r="24" spans="1:6" ht="15" x14ac:dyDescent="0.25">
      <c r="A24" s="7" t="s">
        <v>32</v>
      </c>
      <c r="B24" s="12">
        <f>VLOOKUP(A24,Dataset!$1:$1048576,7,FALSE)</f>
        <v>-1</v>
      </c>
      <c r="C24" s="12">
        <f>VLOOKUP(A24,Dataset!$1:$1048576,14,FALSE)</f>
        <v>-1</v>
      </c>
      <c r="D24" s="12">
        <f>VLOOKUP(A24,Dataset!$1:$1048576,18,FALSE)</f>
        <v>-1</v>
      </c>
      <c r="E24" s="12">
        <f>VLOOKUP(A24,Dataset!$1:$1048576,20,FALSE)</f>
        <v>-1</v>
      </c>
      <c r="F24" s="8">
        <f>VLOOKUP(A24,Dataset!$1:$1048576,22,FALSE)</f>
        <v>-1</v>
      </c>
    </row>
    <row r="25" spans="1:6" ht="15" x14ac:dyDescent="0.25">
      <c r="A25" s="7" t="s">
        <v>34</v>
      </c>
      <c r="B25" s="12">
        <f>VLOOKUP(A25,Dataset!$1:$1048576,7,FALSE)</f>
        <v>43.3</v>
      </c>
      <c r="C25" s="12">
        <f>VLOOKUP(A25,Dataset!$1:$1048576,14,FALSE)</f>
        <v>128.6</v>
      </c>
      <c r="D25" s="12">
        <f>VLOOKUP(A25,Dataset!$1:$1048576,18,FALSE)</f>
        <v>79.400000000000006</v>
      </c>
      <c r="E25" s="12">
        <f>VLOOKUP(A25,Dataset!$1:$1048576,20,FALSE)</f>
        <v>160.9</v>
      </c>
      <c r="F25" s="8">
        <f>VLOOKUP(A25,Dataset!$1:$1048576,22,FALSE)</f>
        <v>79.400000000000006</v>
      </c>
    </row>
    <row r="26" spans="1:6" ht="15" x14ac:dyDescent="0.25">
      <c r="A26" s="7" t="s">
        <v>37</v>
      </c>
      <c r="B26" s="12">
        <f>VLOOKUP(A26,Dataset!$1:$1048576,7,FALSE)</f>
        <v>49.1</v>
      </c>
      <c r="C26" s="12">
        <f>VLOOKUP(A26,Dataset!$1:$1048576,14,FALSE)</f>
        <v>146.80000000000001</v>
      </c>
      <c r="D26" s="12">
        <f>VLOOKUP(A26,Dataset!$1:$1048576,18,FALSE)</f>
        <v>90.9</v>
      </c>
      <c r="E26" s="12">
        <f>VLOOKUP(A26,Dataset!$1:$1048576,20,FALSE)</f>
        <v>183.5</v>
      </c>
      <c r="F26" s="8">
        <f>VLOOKUP(A26,Dataset!$1:$1048576,22,FALSE)</f>
        <v>90.9</v>
      </c>
    </row>
    <row r="27" spans="1:6" ht="15" x14ac:dyDescent="0.25">
      <c r="A27" s="7" t="s">
        <v>39</v>
      </c>
      <c r="B27" s="12">
        <f>VLOOKUP(A27,Dataset!$1:$1048576,7,FALSE)</f>
        <v>51.8</v>
      </c>
      <c r="C27" s="12">
        <f>VLOOKUP(A27,Dataset!$1:$1048576,14,FALSE)</f>
        <v>156.4</v>
      </c>
      <c r="D27" s="12">
        <f>VLOOKUP(A27,Dataset!$1:$1048576,18,FALSE)</f>
        <v>93.1</v>
      </c>
      <c r="E27" s="12">
        <f>VLOOKUP(A27,Dataset!$1:$1048576,20,FALSE)</f>
        <v>188.1</v>
      </c>
      <c r="F27" s="8">
        <f>VLOOKUP(A27,Dataset!$1:$1048576,22,FALSE)</f>
        <v>93.1</v>
      </c>
    </row>
    <row r="28" spans="1:6" ht="15" x14ac:dyDescent="0.25">
      <c r="A28" s="19" t="s">
        <v>82</v>
      </c>
      <c r="B28" s="12">
        <f>MIN(B6:B27)</f>
        <v>-1</v>
      </c>
      <c r="C28" s="12">
        <f>MIN(C6:C27)</f>
        <v>-1</v>
      </c>
      <c r="D28" s="12">
        <f t="shared" ref="D28:F28" si="0">MIN(D6:D27)</f>
        <v>-1</v>
      </c>
      <c r="E28" s="12">
        <f t="shared" si="0"/>
        <v>-1</v>
      </c>
      <c r="F28" s="12">
        <f t="shared" si="0"/>
        <v>-1</v>
      </c>
    </row>
    <row r="29" spans="1:6" ht="15" x14ac:dyDescent="0.25">
      <c r="A29" s="19" t="s">
        <v>83</v>
      </c>
      <c r="B29" s="12">
        <f>MAX(B6:B27)</f>
        <v>51.8</v>
      </c>
      <c r="C29" s="12">
        <f>MAX(C6:C27)</f>
        <v>156.4</v>
      </c>
      <c r="D29" s="12">
        <f t="shared" ref="D29:F29" si="1">MAX(D6:D27)</f>
        <v>93.1</v>
      </c>
      <c r="E29" s="12">
        <f t="shared" si="1"/>
        <v>188.1</v>
      </c>
      <c r="F29" s="12">
        <f t="shared" si="1"/>
        <v>93.1</v>
      </c>
    </row>
    <row r="30" spans="1:6" ht="15" x14ac:dyDescent="0.25">
      <c r="A30" s="19" t="s">
        <v>84</v>
      </c>
      <c r="B30" s="12">
        <f>AVERAGE(B6:B27)</f>
        <v>20.827272727272728</v>
      </c>
      <c r="C30" s="12">
        <f>AVERAGE(C6:C27)</f>
        <v>62.377272727272725</v>
      </c>
      <c r="D30" s="12">
        <f t="shared" ref="D30:F30" si="2">AVERAGE(D6:D27)</f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26" sqref="H2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178</v>
      </c>
    </row>
    <row r="6" spans="1:10" ht="18.75" x14ac:dyDescent="0.3">
      <c r="A6" s="43" t="s">
        <v>153</v>
      </c>
      <c r="B6" s="40" t="s">
        <v>179</v>
      </c>
    </row>
    <row r="7" spans="1:10" ht="18.75" x14ac:dyDescent="0.3">
      <c r="A7" s="43"/>
      <c r="B7" s="40" t="s">
        <v>180</v>
      </c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 t="str" cm="1">
        <f t="array" ref="B17:F17">_xlfn.TEXTSPLIT(A17,"-")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25">
      <c r="A18" s="7" t="s">
        <v>123</v>
      </c>
      <c r="B18" s="12" t="str" cm="1">
        <f t="array" ref="B18:F18">_xlfn.TEXTSPLIT(A18,"-")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25">
      <c r="A19" s="7" t="s">
        <v>124</v>
      </c>
      <c r="B19" s="12" t="str" cm="1">
        <f t="array" ref="B19:F19">_xlfn.TEXTSPLIT(A19,"-")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25">
      <c r="A20" s="7" t="s">
        <v>125</v>
      </c>
      <c r="B20" s="12" t="str" cm="1">
        <f t="array" ref="B20:F20">_xlfn.TEXTSPLIT(A20,"-")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25">
      <c r="A21" s="7" t="s">
        <v>126</v>
      </c>
      <c r="B21" s="12" t="str" cm="1">
        <f t="array" ref="B21:F21">_xlfn.TEXTSPLIT(A21,"-")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25">
      <c r="A22" s="7" t="s">
        <v>127</v>
      </c>
      <c r="B22" s="12" t="str" cm="1">
        <f t="array" ref="B22:F22">_xlfn.TEXTSPLIT(A22,"-")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25">
      <c r="A23" s="7" t="s">
        <v>128</v>
      </c>
      <c r="B23" s="12" t="str" cm="1">
        <f t="array" ref="B23:F23">_xlfn.TEXTSPLIT(A23,"-")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25">
      <c r="A24" s="7" t="s">
        <v>129</v>
      </c>
      <c r="B24" s="12" t="str" cm="1">
        <f t="array" ref="B24:F24">_xlfn.TEXTSPLIT(A24,"-")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25">
      <c r="A25" s="7" t="s">
        <v>130</v>
      </c>
      <c r="B25" s="12" t="str" cm="1">
        <f t="array" ref="B25:F25">_xlfn.TEXTSPLIT(A25,"-")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25">
      <c r="A26" s="7" t="s">
        <v>131</v>
      </c>
      <c r="B26" s="12" t="str" cm="1">
        <f t="array" ref="B26:F26">_xlfn.TEXTSPLIT(A26,"-")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25">
      <c r="A27" s="7" t="s">
        <v>132</v>
      </c>
      <c r="B27" s="12" t="str" cm="1">
        <f t="array" ref="B27:F27">_xlfn.TEXTSPLIT(A27,"-")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25">
      <c r="A28" s="7" t="s">
        <v>133</v>
      </c>
      <c r="B28" s="12" t="str" cm="1">
        <f t="array" ref="B28:F28">_xlfn.TEXTSPLIT(A28,"-")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25">
      <c r="A29" s="7" t="s">
        <v>134</v>
      </c>
      <c r="B29" s="12" t="str" cm="1">
        <f t="array" ref="B29:F29">_xlfn.TEXTSPLIT(A29,"-")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25">
      <c r="A30" s="7" t="s">
        <v>135</v>
      </c>
      <c r="B30" s="12" t="str" cm="1">
        <f t="array" ref="B30:F30">_xlfn.TEXTSPLIT(A30,"-")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25">
      <c r="A31" s="7" t="s">
        <v>136</v>
      </c>
      <c r="B31" s="12" t="str" cm="1">
        <f t="array" ref="B31:F31">_xlfn.TEXTSPLIT(A31,"-")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25">
      <c r="A32" s="7" t="s">
        <v>137</v>
      </c>
      <c r="B32" s="12" t="str" cm="1">
        <f t="array" ref="B32:F32">_xlfn.TEXTSPLIT(A32,"-")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25">
      <c r="A33" s="7" t="s">
        <v>138</v>
      </c>
      <c r="B33" s="12" t="str" cm="1">
        <f t="array" ref="B33:F33">_xlfn.TEXTSPLIT(A33,"-")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25">
      <c r="A34" s="7" t="s">
        <v>139</v>
      </c>
      <c r="B34" s="12" t="str" cm="1">
        <f t="array" ref="B34:F34">_xlfn.TEXTSPLIT(A34,"-")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25">
      <c r="A35" s="7" t="s">
        <v>140</v>
      </c>
      <c r="B35" s="12" t="str" cm="1">
        <f t="array" ref="B35:F35">_xlfn.TEXTSPLIT(A35,"-")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25">
      <c r="A36" s="7" t="s">
        <v>141</v>
      </c>
      <c r="B36" s="12" t="str" cm="1">
        <f t="array" ref="B36:F36">_xlfn.TEXTSPLIT(A36,"-")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25">
      <c r="A37" s="7" t="s">
        <v>142</v>
      </c>
      <c r="B37" s="12" t="str" cm="1">
        <f t="array" ref="B37:F37">_xlfn.TEXTSPLIT(A37,"-")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25">
      <c r="A38" s="7" t="s">
        <v>143</v>
      </c>
      <c r="B38" s="12" t="str" cm="1">
        <f t="array" ref="B38:F38">_xlfn.TEXTSPLIT(A38,"-")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25">
      <c r="A39" s="7" t="s">
        <v>144</v>
      </c>
      <c r="B39" s="12" t="str" cm="1">
        <f t="array" ref="B39:F39">_xlfn.TEXTSPLIT(A39,"-")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25">
      <c r="A40" s="7" t="s">
        <v>145</v>
      </c>
      <c r="B40" s="12" t="str" cm="1">
        <f t="array" ref="B40:F40">_xlfn.TEXTSPLIT(A40,"-")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25">
      <c r="A41" s="7" t="s">
        <v>146</v>
      </c>
      <c r="B41" s="12" t="str" cm="1">
        <f t="array" ref="B41:F41">_xlfn.TEXTSPLIT(A41,"-")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25">
      <c r="A42" s="7" t="s">
        <v>147</v>
      </c>
      <c r="B42" s="12" t="str" cm="1">
        <f t="array" ref="B42:F42">_xlfn.TEXTSPLIT(A42,"-")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25">
      <c r="A43" s="7" t="s">
        <v>148</v>
      </c>
      <c r="B43" s="12" t="str" cm="1">
        <f t="array" ref="B43:F43">_xlfn.TEXTSPLIT(A43,"-")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25">
      <c r="A44" s="7" t="s">
        <v>149</v>
      </c>
      <c r="B44" s="12" t="str" cm="1">
        <f t="array" ref="B44:F44">_xlfn.TEXTSPLIT(A44,"-")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25">
      <c r="A45" s="7" t="s">
        <v>150</v>
      </c>
      <c r="B45" s="12" t="str" cm="1">
        <f t="array" ref="B45:F45">_xlfn.TEXTSPLIT(A45,"-")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25">
      <c r="A46" s="7" t="s">
        <v>112</v>
      </c>
      <c r="B46" s="12" t="str" cm="1">
        <f t="array" ref="B46:F46">_xlfn.TEXTSPLIT(A46,"-")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25">
      <c r="A47" s="7" t="s">
        <v>113</v>
      </c>
      <c r="B47" s="12" t="str" cm="1">
        <f t="array" ref="B47:F47">_xlfn.TEXTSPLIT(A47,"-")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25">
      <c r="A48" s="7" t="s">
        <v>114</v>
      </c>
      <c r="B48" s="12" t="str" cm="1">
        <f t="array" ref="B48:F48">_xlfn.TEXTSPLIT(A48,"-")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25">
      <c r="A49" s="7" t="s">
        <v>115</v>
      </c>
      <c r="B49" s="12" t="str" cm="1">
        <f t="array" ref="B49:F49">_xlfn.TEXTSPLIT(A49,"-")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25">
      <c r="A50" s="7" t="s">
        <v>116</v>
      </c>
      <c r="B50" s="12" t="str" cm="1">
        <f t="array" ref="B50:F50">_xlfn.TEXTSPLIT(A50,"-")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25">
      <c r="A51" s="7" t="s">
        <v>117</v>
      </c>
      <c r="B51" s="12" t="str" cm="1">
        <f t="array" ref="B51:F51">_xlfn.TEXTSPLIT(A51,"-")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25">
      <c r="A52" s="7" t="s">
        <v>118</v>
      </c>
      <c r="B52" s="12" t="str" cm="1">
        <f t="array" ref="B52:F52">_xlfn.TEXTSPLIT(A52,"-")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25">
      <c r="A53" s="7" t="s">
        <v>119</v>
      </c>
      <c r="B53" s="12" t="str" cm="1">
        <f t="array" ref="B53:F53">_xlfn.TEXTSPLIT(A53,"-")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25">
      <c r="A54" s="9" t="s">
        <v>120</v>
      </c>
      <c r="B54" s="12" t="str" cm="1">
        <f t="array" ref="B54:F54">_xlfn.TEXTSPLIT(A54,"-")</f>
        <v>21016</v>
      </c>
      <c r="C54" s="10" t="str">
        <v>Monday</v>
      </c>
      <c r="D54" s="13" t="str">
        <v>0</v>
      </c>
      <c r="E54" s="10" t="str">
        <v>Sunday</v>
      </c>
      <c r="F54" s="12" t="str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31" sqref="F31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8" zoomScaleNormal="100" workbookViewId="0">
      <selection activeCell="S9" sqref="S9"/>
    </sheetView>
  </sheetViews>
  <sheetFormatPr defaultColWidth="11" defaultRowHeight="12.75" x14ac:dyDescent="0.2"/>
  <cols>
    <col min="1" max="1" width="28.1640625" style="2" bestFit="1" customWidth="1"/>
    <col min="2" max="2" width="11" style="2"/>
    <col min="3" max="3" width="14.33203125" style="2" customWidth="1"/>
    <col min="4" max="4" width="18.83203125" style="2" bestFit="1" customWidth="1"/>
    <col min="5" max="5" width="18.5" style="2" bestFit="1" customWidth="1"/>
    <col min="6" max="6" width="34.33203125" style="2" bestFit="1" customWidth="1"/>
    <col min="7" max="7" width="34.1640625" style="2" bestFit="1" customWidth="1"/>
    <col min="8" max="8" width="10.5" style="2" customWidth="1"/>
    <col min="9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2" t="s">
        <v>187</v>
      </c>
    </row>
    <row r="5" spans="1:14" ht="18.75" x14ac:dyDescent="0.3">
      <c r="A5" s="43" t="s">
        <v>153</v>
      </c>
      <c r="B5" s="1" t="s">
        <v>188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  <c r="D22" s="2" t="s">
        <v>183</v>
      </c>
      <c r="E22" s="2" t="s">
        <v>184</v>
      </c>
      <c r="F22" s="2" t="s">
        <v>185</v>
      </c>
      <c r="G22" s="2" t="s">
        <v>186</v>
      </c>
    </row>
    <row r="23" spans="1:14" ht="15" x14ac:dyDescent="0.25">
      <c r="A23" s="7">
        <v>10100</v>
      </c>
      <c r="B23" s="12">
        <v>10102</v>
      </c>
      <c r="C23" s="44" cm="1">
        <f t="array" aca="1" ref="C23" ca="1">INDIRECT(F23&amp;G23)</f>
        <v>95</v>
      </c>
      <c r="D23" s="2" t="str">
        <f>VLOOKUP(A23,$M$9:$N$18,2,FALSE)</f>
        <v>A</v>
      </c>
      <c r="E23" s="2" t="str">
        <f>VLOOKUP(B23,$M$9:$N$18,2,FALSE)</f>
        <v>B</v>
      </c>
      <c r="F23" s="2" t="str">
        <f>CHAR(CODE(VLOOKUP(B23,$M$9:$N$18,2,FALSE))+1)</f>
        <v>C</v>
      </c>
      <c r="G23" s="2">
        <f>CODE(VLOOKUP(A23,$M$9:$N$18,2,FALSE))-55</f>
        <v>10</v>
      </c>
    </row>
    <row r="24" spans="1:14" ht="15" x14ac:dyDescent="0.25">
      <c r="A24" s="7">
        <v>10100</v>
      </c>
      <c r="B24" s="12">
        <v>10104</v>
      </c>
      <c r="C24" s="44" cm="1">
        <f t="array" aca="1" ref="C24" ca="1">INDIRECT(F24&amp;G24)</f>
        <v>-1</v>
      </c>
      <c r="D24" s="2" t="str">
        <f t="shared" ref="D24:D35" si="0">VLOOKUP(A24,$M$9:$N$18,2,FALSE)</f>
        <v>A</v>
      </c>
      <c r="E24" s="2" t="str">
        <f t="shared" ref="E24:E35" si="1">VLOOKUP(B24,$M$9:$N$18,2,FALSE)</f>
        <v>C</v>
      </c>
      <c r="F24" s="2" t="str">
        <f t="shared" ref="F24:F35" si="2">CHAR(CODE(VLOOKUP(B24,$M$9:$N$18,2,FALSE))+1)</f>
        <v>D</v>
      </c>
      <c r="G24" s="2">
        <f t="shared" ref="G24:G35" si="3">CODE(VLOOKUP(A24,$M$9:$N$18,2,FALSE))-55</f>
        <v>10</v>
      </c>
    </row>
    <row r="25" spans="1:14" ht="15" x14ac:dyDescent="0.25">
      <c r="A25" s="7">
        <v>10108</v>
      </c>
      <c r="B25" s="12">
        <v>10102</v>
      </c>
      <c r="C25" s="44" cm="1">
        <f t="array" aca="1" ref="C25" ca="1">INDIRECT(F25&amp;G25)</f>
        <v>160</v>
      </c>
      <c r="D25" s="2" t="str">
        <f t="shared" si="0"/>
        <v>E</v>
      </c>
      <c r="E25" s="2" t="str">
        <f t="shared" si="1"/>
        <v>B</v>
      </c>
      <c r="F25" s="2" t="str">
        <f t="shared" si="2"/>
        <v>C</v>
      </c>
      <c r="G25" s="2">
        <f t="shared" si="3"/>
        <v>14</v>
      </c>
    </row>
    <row r="26" spans="1:14" ht="15" x14ac:dyDescent="0.25">
      <c r="A26" s="7">
        <v>10100</v>
      </c>
      <c r="B26" s="12">
        <v>10106</v>
      </c>
      <c r="C26" s="44" cm="1">
        <f t="array" aca="1" ref="C26" ca="1">INDIRECT(F26&amp;G26)</f>
        <v>185</v>
      </c>
      <c r="D26" s="2" t="str">
        <f t="shared" si="0"/>
        <v>A</v>
      </c>
      <c r="E26" s="2" t="str">
        <f t="shared" si="1"/>
        <v>D</v>
      </c>
      <c r="F26" s="2" t="str">
        <f t="shared" si="2"/>
        <v>E</v>
      </c>
      <c r="G26" s="2">
        <f t="shared" si="3"/>
        <v>10</v>
      </c>
    </row>
    <row r="27" spans="1:14" ht="15" x14ac:dyDescent="0.25">
      <c r="A27" s="7">
        <v>10108</v>
      </c>
      <c r="B27" s="12">
        <v>10110</v>
      </c>
      <c r="C27" s="44" cm="1">
        <f t="array" aca="1" ref="C27" ca="1">INDIRECT(F27&amp;G27)</f>
        <v>50</v>
      </c>
      <c r="D27" s="2" t="str">
        <f t="shared" si="0"/>
        <v>E</v>
      </c>
      <c r="E27" s="2" t="str">
        <f t="shared" si="1"/>
        <v>F</v>
      </c>
      <c r="F27" s="2" t="str">
        <f t="shared" si="2"/>
        <v>G</v>
      </c>
      <c r="G27" s="2">
        <f t="shared" si="3"/>
        <v>14</v>
      </c>
    </row>
    <row r="28" spans="1:14" ht="15" x14ac:dyDescent="0.25">
      <c r="A28" s="7">
        <v>10102</v>
      </c>
      <c r="B28" s="12">
        <v>10104</v>
      </c>
      <c r="C28" s="44" cm="1">
        <f t="array" aca="1" ref="C28" ca="1">INDIRECT(F28&amp;G28)</f>
        <v>-1</v>
      </c>
      <c r="D28" s="2" t="str">
        <f t="shared" si="0"/>
        <v>B</v>
      </c>
      <c r="E28" s="2" t="str">
        <f t="shared" si="1"/>
        <v>C</v>
      </c>
      <c r="F28" s="2" t="str">
        <f t="shared" si="2"/>
        <v>D</v>
      </c>
      <c r="G28" s="2">
        <f t="shared" si="3"/>
        <v>11</v>
      </c>
    </row>
    <row r="29" spans="1:14" ht="15" x14ac:dyDescent="0.25">
      <c r="A29" s="7">
        <v>10106</v>
      </c>
      <c r="B29" s="12">
        <v>10108</v>
      </c>
      <c r="C29" s="44" cm="1">
        <f t="array" aca="1" ref="C29" ca="1">INDIRECT(F29&amp;G29)</f>
        <v>70</v>
      </c>
      <c r="D29" s="2" t="str">
        <f t="shared" si="0"/>
        <v>D</v>
      </c>
      <c r="E29" s="2" t="str">
        <f t="shared" si="1"/>
        <v>E</v>
      </c>
      <c r="F29" s="2" t="str">
        <f t="shared" si="2"/>
        <v>F</v>
      </c>
      <c r="G29" s="2">
        <f t="shared" si="3"/>
        <v>13</v>
      </c>
    </row>
    <row r="30" spans="1:14" ht="15" x14ac:dyDescent="0.25">
      <c r="A30" s="7">
        <v>10102</v>
      </c>
      <c r="B30" s="12">
        <v>10106</v>
      </c>
      <c r="C30" s="44" cm="1">
        <f t="array" aca="1" ref="C30" ca="1">INDIRECT(F30&amp;G30)</f>
        <v>90</v>
      </c>
      <c r="D30" s="2" t="str">
        <f t="shared" si="0"/>
        <v>B</v>
      </c>
      <c r="E30" s="2" t="str">
        <f t="shared" si="1"/>
        <v>D</v>
      </c>
      <c r="F30" s="2" t="str">
        <f t="shared" si="2"/>
        <v>E</v>
      </c>
      <c r="G30" s="2">
        <f t="shared" si="3"/>
        <v>11</v>
      </c>
    </row>
    <row r="31" spans="1:14" ht="15" x14ac:dyDescent="0.25">
      <c r="A31" s="7">
        <v>10110</v>
      </c>
      <c r="B31" s="12">
        <v>10114</v>
      </c>
      <c r="C31" s="44" cm="1">
        <f t="array" aca="1" ref="C31" ca="1">INDIRECT(F31&amp;G31)</f>
        <v>180</v>
      </c>
      <c r="D31" s="2" t="str">
        <f t="shared" si="0"/>
        <v>F</v>
      </c>
      <c r="E31" s="2" t="str">
        <f t="shared" si="1"/>
        <v>H</v>
      </c>
      <c r="F31" s="2" t="str">
        <f t="shared" si="2"/>
        <v>I</v>
      </c>
      <c r="G31" s="2">
        <f t="shared" si="3"/>
        <v>15</v>
      </c>
    </row>
    <row r="32" spans="1:14" ht="15" x14ac:dyDescent="0.25">
      <c r="A32" s="7">
        <v>10104</v>
      </c>
      <c r="B32" s="12">
        <v>10106</v>
      </c>
      <c r="C32" s="44" cm="1">
        <f t="array" aca="1" ref="C32" ca="1">INDIRECT(F32&amp;G32)</f>
        <v>60</v>
      </c>
      <c r="D32" s="2" t="str">
        <f t="shared" si="0"/>
        <v>C</v>
      </c>
      <c r="E32" s="2" t="str">
        <f t="shared" si="1"/>
        <v>D</v>
      </c>
      <c r="F32" s="2" t="str">
        <f t="shared" si="2"/>
        <v>E</v>
      </c>
      <c r="G32" s="2">
        <f t="shared" si="3"/>
        <v>12</v>
      </c>
    </row>
    <row r="33" spans="1:7" ht="15" x14ac:dyDescent="0.25">
      <c r="A33" s="7">
        <v>10110</v>
      </c>
      <c r="B33" s="12">
        <v>10112</v>
      </c>
      <c r="C33" s="44" cm="1">
        <f t="array" aca="1" ref="C33" ca="1">INDIRECT(F33&amp;G33)</f>
        <v>115</v>
      </c>
      <c r="D33" s="2" t="str">
        <f t="shared" si="0"/>
        <v>F</v>
      </c>
      <c r="E33" s="2" t="str">
        <f t="shared" si="1"/>
        <v>G</v>
      </c>
      <c r="F33" s="2" t="str">
        <f t="shared" si="2"/>
        <v>H</v>
      </c>
      <c r="G33" s="2">
        <f t="shared" si="3"/>
        <v>15</v>
      </c>
    </row>
    <row r="34" spans="1:7" ht="15" x14ac:dyDescent="0.25">
      <c r="A34" s="7">
        <v>10100</v>
      </c>
      <c r="B34" s="12">
        <v>10114</v>
      </c>
      <c r="C34" s="44" cm="1">
        <f t="array" aca="1" ref="C34" ca="1">INDIRECT(F34&amp;G34)</f>
        <v>480</v>
      </c>
      <c r="D34" s="2" t="str">
        <f t="shared" si="0"/>
        <v>A</v>
      </c>
      <c r="E34" s="2" t="str">
        <f t="shared" si="1"/>
        <v>H</v>
      </c>
      <c r="F34" s="2" t="str">
        <f t="shared" si="2"/>
        <v>I</v>
      </c>
      <c r="G34" s="2">
        <f t="shared" si="3"/>
        <v>10</v>
      </c>
    </row>
    <row r="35" spans="1:7" ht="15" x14ac:dyDescent="0.25">
      <c r="A35" s="9">
        <v>10112</v>
      </c>
      <c r="B35" s="13">
        <v>10116</v>
      </c>
      <c r="C35" s="44" cm="1">
        <f t="array" aca="1" ref="C35" ca="1">INDIRECT(F35&amp;G35)</f>
        <v>105</v>
      </c>
      <c r="D35" s="2" t="str">
        <f t="shared" si="0"/>
        <v>G</v>
      </c>
      <c r="E35" s="2" t="str">
        <f t="shared" si="1"/>
        <v>I</v>
      </c>
      <c r="F35" s="2" t="str">
        <f t="shared" si="2"/>
        <v>J</v>
      </c>
      <c r="G35" s="2">
        <f t="shared" si="3"/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 1 Answer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Vasanth R</cp:lastModifiedBy>
  <dcterms:created xsi:type="dcterms:W3CDTF">2015-02-10T17:33:11Z</dcterms:created>
  <dcterms:modified xsi:type="dcterms:W3CDTF">2023-12-09T02:56:57Z</dcterms:modified>
</cp:coreProperties>
</file>